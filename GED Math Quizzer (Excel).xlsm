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\Desktop\"/>
    </mc:Choice>
  </mc:AlternateContent>
  <bookViews>
    <workbookView xWindow="0" yWindow="0" windowWidth="23040" windowHeight="9210" tabRatio="742"/>
  </bookViews>
  <sheets>
    <sheet name="Instructions" sheetId="15" r:id="rId1"/>
    <sheet name="Number Line" sheetId="12" r:id="rId2"/>
    <sheet name="Line Chart" sheetId="1" r:id="rId3"/>
    <sheet name="Bar Chart" sheetId="9" r:id="rId4"/>
    <sheet name="Pie Chart" sheetId="6" r:id="rId5"/>
    <sheet name="Rectangle" sheetId="10" r:id="rId6"/>
    <sheet name="C to F Conversions" sheetId="2" r:id="rId7"/>
    <sheet name="F to C Conversions" sheetId="14" r:id="rId8"/>
  </sheets>
  <calcPr calcId="162913"/>
</workbook>
</file>

<file path=xl/calcChain.xml><?xml version="1.0" encoding="utf-8"?>
<calcChain xmlns="http://schemas.openxmlformats.org/spreadsheetml/2006/main">
  <c r="A13" i="12" l="1"/>
  <c r="A14" i="12" s="1"/>
  <c r="A1048567" i="12"/>
  <c r="A1048568" i="12"/>
  <c r="A1048569" i="12"/>
  <c r="A1048570" i="12"/>
  <c r="A1048571" i="12"/>
  <c r="A1048572" i="12"/>
  <c r="A1048573" i="12"/>
  <c r="A1048574" i="12"/>
  <c r="A1048575" i="12"/>
  <c r="A1048576" i="12"/>
  <c r="C2" i="14"/>
  <c r="C3" i="14"/>
  <c r="C4" i="14"/>
  <c r="C5" i="14"/>
  <c r="C6" i="14"/>
  <c r="B5" i="1"/>
  <c r="B7" i="1"/>
  <c r="B2" i="1"/>
  <c r="B12" i="1"/>
  <c r="B10" i="1"/>
  <c r="B3" i="1"/>
  <c r="B15" i="1"/>
  <c r="A15" i="12" l="1"/>
  <c r="T10" i="12" s="1"/>
  <c r="R12" i="12"/>
  <c r="O10" i="12"/>
  <c r="A6" i="10"/>
  <c r="B13" i="1"/>
  <c r="B4" i="1"/>
  <c r="B9" i="1"/>
  <c r="B11" i="1"/>
  <c r="B8" i="1"/>
  <c r="B6" i="1"/>
  <c r="B14" i="1"/>
  <c r="A5" i="10" l="1"/>
  <c r="B19" i="1"/>
  <c r="A19" i="1"/>
  <c r="M5" i="12"/>
  <c r="E8" i="12" s="1"/>
  <c r="B18" i="1" l="1"/>
  <c r="O21" i="1" s="1"/>
  <c r="A18" i="1"/>
  <c r="K21" i="1" s="1"/>
  <c r="O5" i="12"/>
  <c r="Q5" i="12" s="1"/>
  <c r="S5" i="12" s="1"/>
  <c r="U5" i="12" s="1"/>
  <c r="A5" i="12" s="1"/>
  <c r="A2" i="12" l="1"/>
  <c r="A4" i="12"/>
  <c r="A3" i="12"/>
  <c r="W5" i="12"/>
  <c r="E2" i="12"/>
  <c r="Y5" i="12" l="1"/>
  <c r="A6" i="12"/>
  <c r="K11" i="10"/>
  <c r="F20" i="10"/>
  <c r="F3" i="10"/>
  <c r="AA5" i="12" l="1"/>
  <c r="A7" i="12"/>
  <c r="K7" i="10"/>
  <c r="H10" i="10"/>
  <c r="D10" i="10"/>
  <c r="A5" i="6"/>
  <c r="B4" i="6" s="1"/>
  <c r="B10" i="6" s="1"/>
  <c r="G19" i="9"/>
  <c r="G18" i="9"/>
  <c r="C2" i="2"/>
  <c r="C3" i="2"/>
  <c r="C4" i="2"/>
  <c r="C5" i="2"/>
  <c r="C6" i="2"/>
  <c r="AC5" i="12" l="1"/>
  <c r="E5" i="12" s="1"/>
  <c r="A8" i="12"/>
  <c r="B3" i="6"/>
  <c r="B9" i="6" s="1"/>
  <c r="B2" i="6"/>
  <c r="B8" i="6" s="1"/>
  <c r="B1" i="6"/>
  <c r="B7" i="6" s="1"/>
  <c r="K4" i="6" l="1"/>
  <c r="A9" i="12"/>
  <c r="B11" i="12" s="1"/>
  <c r="V9" i="12" s="1"/>
  <c r="K7" i="6"/>
  <c r="B5" i="6"/>
  <c r="G19" i="1"/>
  <c r="G18" i="1"/>
  <c r="B13" i="12" l="1"/>
  <c r="M12" i="12" s="1"/>
  <c r="M9" i="12" l="1"/>
</calcChain>
</file>

<file path=xl/comments1.xml><?xml version="1.0" encoding="utf-8"?>
<comments xmlns="http://schemas.openxmlformats.org/spreadsheetml/2006/main">
  <authors>
    <author>Joy Dias</author>
  </authors>
  <commentList>
    <comment ref="T9" authorId="0" shapeId="0">
      <text>
        <r>
          <rPr>
            <sz val="11"/>
            <color indexed="81"/>
            <rFont val="Tahoma"/>
            <family val="2"/>
          </rPr>
          <t>Type "left" or "right"</t>
        </r>
      </text>
    </comment>
  </commentList>
</comments>
</file>

<file path=xl/comments2.xml><?xml version="1.0" encoding="utf-8"?>
<comments xmlns="http://schemas.openxmlformats.org/spreadsheetml/2006/main">
  <authors>
    <author>Joy Dias</author>
  </authors>
  <commentList>
    <comment ref="J4" authorId="0" shapeId="0">
      <text>
        <r>
          <rPr>
            <sz val="12"/>
            <color indexed="81"/>
            <rFont val="Tahoma"/>
            <family val="2"/>
          </rPr>
          <t>Write the color name.
E.g. "blue", "purple", etc.</t>
        </r>
      </text>
    </comment>
    <comment ref="J7" authorId="0" shapeId="0">
      <text>
        <r>
          <rPr>
            <sz val="12"/>
            <color indexed="81"/>
            <rFont val="Tahoma"/>
            <family val="2"/>
          </rPr>
          <t>Write the color name.
E.g. "blue", "purple", etc.</t>
        </r>
      </text>
    </comment>
  </commentList>
</comments>
</file>

<file path=xl/sharedStrings.xml><?xml version="1.0" encoding="utf-8"?>
<sst xmlns="http://schemas.openxmlformats.org/spreadsheetml/2006/main" count="44" uniqueCount="37">
  <si>
    <t>from:</t>
  </si>
  <si>
    <t>to:</t>
  </si>
  <si>
    <t>Celsius</t>
  </si>
  <si>
    <t>Fahrenheit</t>
  </si>
  <si>
    <r>
      <t xml:space="preserve">Largest percent </t>
    </r>
    <r>
      <rPr>
        <i/>
        <u/>
        <sz val="11"/>
        <color theme="1"/>
        <rFont val="Calibri"/>
        <family val="2"/>
        <scheme val="minor"/>
      </rPr>
      <t>increase</t>
    </r>
    <r>
      <rPr>
        <sz val="11"/>
        <color theme="1"/>
        <rFont val="Calibri"/>
        <family val="2"/>
        <scheme val="minor"/>
      </rPr>
      <t xml:space="preserve"> between two points</t>
    </r>
  </si>
  <si>
    <r>
      <t xml:space="preserve">Largest percent </t>
    </r>
    <r>
      <rPr>
        <i/>
        <u/>
        <sz val="11"/>
        <color theme="1"/>
        <rFont val="Calibri"/>
        <family val="2"/>
        <scheme val="minor"/>
      </rPr>
      <t>decrease</t>
    </r>
    <r>
      <rPr>
        <sz val="11"/>
        <color theme="1"/>
        <rFont val="Calibri"/>
        <family val="2"/>
        <scheme val="minor"/>
      </rPr>
      <t xml:space="preserve"> between two points</t>
    </r>
  </si>
  <si>
    <t>Which one's the max:</t>
  </si>
  <si>
    <t>Which one's the min:</t>
  </si>
  <si>
    <t>Largest wedge?</t>
  </si>
  <si>
    <t>Smallest wedge?</t>
  </si>
  <si>
    <t>Blue</t>
  </si>
  <si>
    <t>Green</t>
  </si>
  <si>
    <t>Red</t>
  </si>
  <si>
    <t>Purple</t>
  </si>
  <si>
    <t>Side 1</t>
  </si>
  <si>
    <t>Side 2</t>
  </si>
  <si>
    <t>Side 3</t>
  </si>
  <si>
    <t>Side 4</t>
  </si>
  <si>
    <t>perimeter</t>
  </si>
  <si>
    <t>area</t>
  </si>
  <si>
    <r>
      <t xml:space="preserve">What is this rectangle's </t>
    </r>
    <r>
      <rPr>
        <i/>
        <u/>
        <sz val="11"/>
        <color theme="1"/>
        <rFont val="Calibri"/>
        <family val="2"/>
        <scheme val="minor"/>
      </rPr>
      <t>perimeter</t>
    </r>
    <r>
      <rPr>
        <sz val="11"/>
        <color theme="1"/>
        <rFont val="Calibri"/>
        <family val="2"/>
        <scheme val="minor"/>
      </rPr>
      <t>?</t>
    </r>
  </si>
  <si>
    <r>
      <t xml:space="preserve">What is this rectangle's </t>
    </r>
    <r>
      <rPr>
        <i/>
        <u/>
        <sz val="11"/>
        <color theme="1"/>
        <rFont val="Calibri"/>
        <family val="2"/>
        <scheme val="minor"/>
      </rPr>
      <t>area</t>
    </r>
    <r>
      <rPr>
        <sz val="11"/>
        <color theme="1"/>
        <rFont val="Calibri"/>
        <family val="2"/>
        <scheme val="minor"/>
      </rPr>
      <t>?</t>
    </r>
  </si>
  <si>
    <t>Side 1, 3</t>
  </si>
  <si>
    <t>Side 2, 4</t>
  </si>
  <si>
    <t>What is the highest number on this line?</t>
  </si>
  <si>
    <t>What is the lowest number on this line?</t>
  </si>
  <si>
    <t>What is the midpoint of this line?</t>
  </si>
  <si>
    <t>(Answers must be exact to the hundredths of a degree (two decimals))</t>
  </si>
  <si>
    <t>step(s) to the</t>
  </si>
  <si>
    <t xml:space="preserve">GED Practice Questions </t>
  </si>
  <si>
    <t>Excel Workbook</t>
  </si>
  <si>
    <t>Click the tabs along the bottom to select exercises.</t>
  </si>
  <si>
    <t>Enter your responses in yellow boxes.</t>
  </si>
  <si>
    <t>Use this Excel workbook to help practice some basic math concepts.</t>
  </si>
  <si>
    <t>"Refresh" buttons reset problems, using a different set of numbers.</t>
  </si>
  <si>
    <t xml:space="preserve">              </t>
  </si>
  <si>
    <r>
      <rPr>
        <b/>
        <sz val="13"/>
        <color theme="1"/>
        <rFont val="Calibri"/>
        <family val="2"/>
        <scheme val="minor"/>
      </rPr>
      <t xml:space="preserve">*IMPORTANT </t>
    </r>
    <r>
      <rPr>
        <sz val="13"/>
        <color theme="1"/>
        <rFont val="Calibri"/>
        <family val="2"/>
        <scheme val="minor"/>
      </rPr>
      <t>- If, when opening this workbook, you are asked if you want to "Enable Editing" or "Enable Content", you must agree to both in order for these exercises to work.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</si>
</sst>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1.5"/>
      <color theme="1"/>
      <name val="Calibri"/>
      <family val="2"/>
      <scheme val="minor"/>
    </font>
    <font>
      <sz val="11.5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Protection="1"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2" borderId="0" xfId="0" applyFill="1" applyProtection="1">
      <protection locked="0"/>
    </xf>
    <xf numFmtId="9" fontId="0" fillId="2" borderId="0" xfId="1" applyFont="1" applyFill="1" applyProtection="1">
      <protection locked="0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/>
    </xf>
    <xf numFmtId="0" fontId="0" fillId="3" borderId="1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Protection="1"/>
    <xf numFmtId="0" fontId="6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right"/>
    </xf>
    <xf numFmtId="0" fontId="6" fillId="0" borderId="0" xfId="0" applyFont="1" applyProtection="1"/>
    <xf numFmtId="0" fontId="0" fillId="2" borderId="0" xfId="0" applyFill="1" applyAlignment="1" applyProtection="1">
      <alignment wrapText="1"/>
      <protection locked="0"/>
    </xf>
    <xf numFmtId="0" fontId="2" fillId="0" borderId="0" xfId="0" applyFont="1" applyProtection="1"/>
    <xf numFmtId="0" fontId="2" fillId="0" borderId="1" xfId="0" applyNumberFormat="1" applyFont="1" applyBorder="1" applyProtection="1"/>
    <xf numFmtId="0" fontId="0" fillId="4" borderId="0" xfId="0" applyFill="1" applyProtection="1">
      <protection locked="0"/>
    </xf>
    <xf numFmtId="9" fontId="0" fillId="4" borderId="0" xfId="1" applyFont="1" applyFill="1" applyProtection="1">
      <protection locked="0"/>
    </xf>
    <xf numFmtId="0" fontId="0" fillId="4" borderId="0" xfId="0" applyFill="1" applyProtection="1"/>
    <xf numFmtId="0" fontId="0" fillId="4" borderId="0" xfId="0" applyNumberFormat="1" applyFill="1" applyProtection="1">
      <protection locked="0"/>
    </xf>
    <xf numFmtId="0" fontId="7" fillId="0" borderId="0" xfId="0" applyFont="1" applyProtection="1"/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2" fontId="2" fillId="0" borderId="1" xfId="0" applyNumberFormat="1" applyFont="1" applyBorder="1" applyAlignment="1" applyProtection="1">
      <alignment horizontal="center" vertical="center"/>
    </xf>
    <xf numFmtId="0" fontId="0" fillId="0" borderId="0" xfId="0" applyFill="1" applyAlignment="1" applyProtection="1">
      <alignment wrapText="1"/>
    </xf>
    <xf numFmtId="0" fontId="0" fillId="0" borderId="0" xfId="0" applyFont="1" applyProtection="1"/>
    <xf numFmtId="0" fontId="0" fillId="3" borderId="1" xfId="0" applyFill="1" applyBorder="1" applyAlignment="1" applyProtection="1">
      <alignment vertical="center"/>
      <protection locked="0"/>
    </xf>
    <xf numFmtId="0" fontId="0" fillId="2" borderId="6" xfId="0" applyFill="1" applyBorder="1" applyProtection="1">
      <protection locked="0"/>
    </xf>
    <xf numFmtId="0" fontId="12" fillId="2" borderId="9" xfId="0" applyFont="1" applyFill="1" applyBorder="1" applyProtection="1">
      <protection locked="0"/>
    </xf>
    <xf numFmtId="0" fontId="2" fillId="0" borderId="1" xfId="0" applyFont="1" applyBorder="1" applyAlignment="1" applyProtection="1">
      <alignment vertical="center"/>
    </xf>
    <xf numFmtId="0" fontId="0" fillId="0" borderId="3" xfId="0" applyBorder="1" applyProtection="1"/>
    <xf numFmtId="0" fontId="0" fillId="0" borderId="5" xfId="0" applyBorder="1" applyProtection="1"/>
    <xf numFmtId="0" fontId="0" fillId="0" borderId="4" xfId="0" applyBorder="1" applyProtection="1"/>
    <xf numFmtId="0" fontId="9" fillId="0" borderId="0" xfId="0" applyFont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11" fillId="0" borderId="0" xfId="0" applyFont="1" applyProtection="1"/>
    <xf numFmtId="0" fontId="9" fillId="3" borderId="6" xfId="0" applyFont="1" applyFill="1" applyBorder="1" applyAlignment="1" applyProtection="1">
      <alignment horizontal="center" vertical="center"/>
      <protection locked="0"/>
    </xf>
    <xf numFmtId="0" fontId="9" fillId="3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/>
    <xf numFmtId="0" fontId="6" fillId="0" borderId="0" xfId="0" applyFont="1"/>
    <xf numFmtId="0" fontId="15" fillId="0" borderId="0" xfId="0" applyFont="1"/>
    <xf numFmtId="0" fontId="0" fillId="0" borderId="0" xfId="0" applyAlignment="1" applyProtection="1">
      <alignment horizontal="center"/>
    </xf>
    <xf numFmtId="0" fontId="10" fillId="0" borderId="7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9" fillId="3" borderId="7" xfId="0" applyFont="1" applyFill="1" applyBorder="1" applyAlignment="1" applyProtection="1">
      <alignment horizontal="center" vertical="center"/>
      <protection locked="0"/>
    </xf>
    <xf numFmtId="0" fontId="9" fillId="3" borderId="8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right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8" xfId="0" applyFont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horizontal="right" vertical="center"/>
    </xf>
    <xf numFmtId="0" fontId="9" fillId="0" borderId="2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15" fillId="5" borderId="0" xfId="0" applyFont="1" applyFill="1"/>
    <xf numFmtId="0" fontId="9" fillId="5" borderId="0" xfId="0" applyFont="1" applyFill="1"/>
    <xf numFmtId="0" fontId="0" fillId="5" borderId="0" xfId="0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accent4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'Line Chart'!$A$1:$A$15</c:f>
              <c:numCache>
                <c:formatCode>General</c:formatCode>
                <c:ptCount val="15"/>
                <c:pt idx="0">
                  <c:v>37</c:v>
                </c:pt>
                <c:pt idx="1">
                  <c:v>1</c:v>
                </c:pt>
                <c:pt idx="2">
                  <c:v>17</c:v>
                </c:pt>
                <c:pt idx="3">
                  <c:v>18</c:v>
                </c:pt>
                <c:pt idx="4">
                  <c:v>6</c:v>
                </c:pt>
                <c:pt idx="5">
                  <c:v>5</c:v>
                </c:pt>
                <c:pt idx="6">
                  <c:v>18</c:v>
                </c:pt>
                <c:pt idx="7">
                  <c:v>1</c:v>
                </c:pt>
                <c:pt idx="8">
                  <c:v>27</c:v>
                </c:pt>
                <c:pt idx="9">
                  <c:v>3</c:v>
                </c:pt>
                <c:pt idx="10">
                  <c:v>41</c:v>
                </c:pt>
                <c:pt idx="11">
                  <c:v>42</c:v>
                </c:pt>
                <c:pt idx="12">
                  <c:v>29</c:v>
                </c:pt>
                <c:pt idx="13">
                  <c:v>11</c:v>
                </c:pt>
                <c:pt idx="1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36-4EBE-AC9B-317EB35D7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649856"/>
        <c:axId val="158568384"/>
      </c:lineChart>
      <c:catAx>
        <c:axId val="1586498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8568384"/>
        <c:crosses val="autoZero"/>
        <c:auto val="1"/>
        <c:lblAlgn val="ctr"/>
        <c:lblOffset val="100"/>
        <c:noMultiLvlLbl val="0"/>
      </c:catAx>
      <c:valAx>
        <c:axId val="15856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8649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val>
            <c:numRef>
              <c:f>'Bar Chart'!$A$1:$A$15</c:f>
              <c:numCache>
                <c:formatCode>General</c:formatCode>
                <c:ptCount val="15"/>
                <c:pt idx="0">
                  <c:v>42</c:v>
                </c:pt>
                <c:pt idx="1">
                  <c:v>38</c:v>
                </c:pt>
                <c:pt idx="2">
                  <c:v>19</c:v>
                </c:pt>
                <c:pt idx="3">
                  <c:v>5</c:v>
                </c:pt>
                <c:pt idx="4">
                  <c:v>22</c:v>
                </c:pt>
                <c:pt idx="5">
                  <c:v>38</c:v>
                </c:pt>
                <c:pt idx="6">
                  <c:v>31</c:v>
                </c:pt>
                <c:pt idx="7">
                  <c:v>49</c:v>
                </c:pt>
                <c:pt idx="8">
                  <c:v>8</c:v>
                </c:pt>
                <c:pt idx="9">
                  <c:v>32</c:v>
                </c:pt>
                <c:pt idx="10">
                  <c:v>21</c:v>
                </c:pt>
                <c:pt idx="11">
                  <c:v>36</c:v>
                </c:pt>
                <c:pt idx="12">
                  <c:v>45</c:v>
                </c:pt>
                <c:pt idx="13">
                  <c:v>22</c:v>
                </c:pt>
                <c:pt idx="14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05-4E11-84C2-57C8862F3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776256"/>
        <c:axId val="158566080"/>
      </c:barChart>
      <c:catAx>
        <c:axId val="159776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8566080"/>
        <c:crosses val="autoZero"/>
        <c:auto val="1"/>
        <c:lblAlgn val="ctr"/>
        <c:lblOffset val="100"/>
        <c:noMultiLvlLbl val="0"/>
      </c:catAx>
      <c:valAx>
        <c:axId val="15856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9776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2230400547758"/>
          <c:y val="4.9155153856599187E-2"/>
          <c:w val="0.80480058199246807"/>
          <c:h val="0.90988221792956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70B-43BE-9176-5D8C9611456F}"/>
              </c:ext>
            </c:extLst>
          </c:dPt>
          <c:dPt>
            <c:idx val="1"/>
            <c:bubble3D val="0"/>
            <c:spPr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B70B-43BE-9176-5D8C9611456F}"/>
              </c:ext>
            </c:extLst>
          </c:dPt>
          <c:dPt>
            <c:idx val="2"/>
            <c:bubble3D val="0"/>
            <c:spPr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B70B-43BE-9176-5D8C9611456F}"/>
              </c:ext>
            </c:extLst>
          </c:dPt>
          <c:dPt>
            <c:idx val="3"/>
            <c:bubble3D val="0"/>
            <c:spPr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B70B-43BE-9176-5D8C9611456F}"/>
              </c:ext>
            </c:extLst>
          </c:dPt>
          <c:val>
            <c:numRef>
              <c:f>'Pie Chart'!$B$1:$B$4</c:f>
              <c:numCache>
                <c:formatCode>General</c:formatCode>
                <c:ptCount val="4"/>
                <c:pt idx="0">
                  <c:v>0.17499999999999999</c:v>
                </c:pt>
                <c:pt idx="1">
                  <c:v>0.35</c:v>
                </c:pt>
                <c:pt idx="2">
                  <c:v>0.05</c:v>
                </c:pt>
                <c:pt idx="3">
                  <c:v>0.42499999999999999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B-43BE-9176-5D8C96114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163830</xdr:colOff>
          <xdr:row>0</xdr:row>
          <xdr:rowOff>220980</xdr:rowOff>
        </xdr:from>
        <xdr:to>
          <xdr:col>17</xdr:col>
          <xdr:colOff>220980</xdr:colOff>
          <xdr:row>2</xdr:row>
          <xdr:rowOff>240030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1</xdr:row>
      <xdr:rowOff>14286</xdr:rowOff>
    </xdr:from>
    <xdr:to>
      <xdr:col>16</xdr:col>
      <xdr:colOff>581025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240030</xdr:colOff>
          <xdr:row>1</xdr:row>
          <xdr:rowOff>57150</xdr:rowOff>
        </xdr:from>
        <xdr:to>
          <xdr:col>3</xdr:col>
          <xdr:colOff>601980</xdr:colOff>
          <xdr:row>3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133349</xdr:colOff>
      <xdr:row>1</xdr:row>
      <xdr:rowOff>14286</xdr:rowOff>
    </xdr:from>
    <xdr:to>
      <xdr:col>16</xdr:col>
      <xdr:colOff>581025</xdr:colOff>
      <xdr:row>15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240030</xdr:colOff>
          <xdr:row>1</xdr:row>
          <xdr:rowOff>57150</xdr:rowOff>
        </xdr:from>
        <xdr:to>
          <xdr:col>3</xdr:col>
          <xdr:colOff>601980</xdr:colOff>
          <xdr:row>3</xdr:row>
          <xdr:rowOff>182880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180976</xdr:colOff>
      <xdr:row>3</xdr:row>
      <xdr:rowOff>123825</xdr:rowOff>
    </xdr:from>
    <xdr:to>
      <xdr:col>8</xdr:col>
      <xdr:colOff>28576</xdr:colOff>
      <xdr:row>19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87630</xdr:rowOff>
        </xdr:from>
        <xdr:to>
          <xdr:col>4</xdr:col>
          <xdr:colOff>30480</xdr:colOff>
          <xdr:row>2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19051</xdr:colOff>
      <xdr:row>3</xdr:row>
      <xdr:rowOff>114300</xdr:rowOff>
    </xdr:from>
    <xdr:to>
      <xdr:col>7</xdr:col>
      <xdr:colOff>76201</xdr:colOff>
      <xdr:row>17</xdr:row>
      <xdr:rowOff>85725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343401" y="685800"/>
          <a:ext cx="1885950" cy="26384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19050</xdr:rowOff>
        </xdr:from>
        <xdr:to>
          <xdr:col>9</xdr:col>
          <xdr:colOff>601980</xdr:colOff>
          <xdr:row>3</xdr:row>
          <xdr:rowOff>68580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5</xdr:col>
          <xdr:colOff>182880</xdr:colOff>
          <xdr:row>3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</xdr:colOff>
          <xdr:row>10</xdr:row>
          <xdr:rowOff>30480</xdr:rowOff>
        </xdr:from>
        <xdr:to>
          <xdr:col>4</xdr:col>
          <xdr:colOff>495300</xdr:colOff>
          <xdr:row>12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30480</xdr:rowOff>
        </xdr:from>
        <xdr:to>
          <xdr:col>6</xdr:col>
          <xdr:colOff>476250</xdr:colOff>
          <xdr:row>12</xdr:row>
          <xdr:rowOff>68580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6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Formula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5</xdr:col>
          <xdr:colOff>182880</xdr:colOff>
          <xdr:row>3</xdr:row>
          <xdr:rowOff>182880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</xdr:colOff>
          <xdr:row>10</xdr:row>
          <xdr:rowOff>30480</xdr:rowOff>
        </xdr:from>
        <xdr:to>
          <xdr:col>4</xdr:col>
          <xdr:colOff>495300</xdr:colOff>
          <xdr:row>12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10</xdr:row>
          <xdr:rowOff>30480</xdr:rowOff>
        </xdr:from>
        <xdr:to>
          <xdr:col>6</xdr:col>
          <xdr:colOff>476250</xdr:colOff>
          <xdr:row>12</xdr:row>
          <xdr:rowOff>68580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Formula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4"/>
  <sheetViews>
    <sheetView showGridLines="0" tabSelected="1" workbookViewId="0"/>
  </sheetViews>
  <sheetFormatPr defaultRowHeight="14.4" x14ac:dyDescent="0.55000000000000004"/>
  <cols>
    <col min="18" max="18" width="12.9453125" customWidth="1"/>
  </cols>
  <sheetData>
    <row r="1" spans="1:18" ht="18.3" x14ac:dyDescent="0.7">
      <c r="A1" s="59" t="s">
        <v>36</v>
      </c>
      <c r="B1" s="60"/>
      <c r="C1" s="60"/>
      <c r="D1" s="60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</row>
    <row r="2" spans="1:18" ht="18.3" x14ac:dyDescent="0.7">
      <c r="A2" s="47"/>
      <c r="B2" s="45"/>
      <c r="C2" s="45"/>
      <c r="D2" s="45"/>
    </row>
    <row r="3" spans="1:18" ht="18.3" x14ac:dyDescent="0.7">
      <c r="A3" s="46" t="s">
        <v>29</v>
      </c>
      <c r="B3" s="45"/>
      <c r="C3" s="45"/>
    </row>
    <row r="4" spans="1:18" ht="18.3" x14ac:dyDescent="0.7">
      <c r="A4" s="46" t="s">
        <v>30</v>
      </c>
      <c r="B4" s="45"/>
      <c r="C4" s="45"/>
    </row>
    <row r="5" spans="1:18" ht="18.3" x14ac:dyDescent="0.7">
      <c r="A5" s="45"/>
      <c r="B5" s="45"/>
      <c r="C5" s="45"/>
    </row>
    <row r="6" spans="1:18" ht="18.3" x14ac:dyDescent="0.7">
      <c r="A6" s="45" t="s">
        <v>33</v>
      </c>
      <c r="C6" s="45"/>
    </row>
    <row r="7" spans="1:18" ht="18.3" x14ac:dyDescent="0.7">
      <c r="A7" s="45"/>
      <c r="B7" s="45"/>
      <c r="C7" s="45"/>
    </row>
    <row r="8" spans="1:18" ht="18.3" x14ac:dyDescent="0.7">
      <c r="A8" s="45"/>
      <c r="B8" s="45" t="s">
        <v>31</v>
      </c>
      <c r="C8" s="45"/>
    </row>
    <row r="9" spans="1:18" ht="18.3" x14ac:dyDescent="0.7">
      <c r="A9" s="45"/>
      <c r="B9" s="45"/>
      <c r="C9" s="45"/>
    </row>
    <row r="10" spans="1:18" ht="18.3" x14ac:dyDescent="0.7">
      <c r="A10" s="45"/>
      <c r="B10" s="45" t="s">
        <v>32</v>
      </c>
      <c r="C10" s="45"/>
    </row>
    <row r="11" spans="1:18" ht="18.3" x14ac:dyDescent="0.7">
      <c r="A11" s="45"/>
      <c r="B11" s="45"/>
      <c r="C11" s="45"/>
    </row>
    <row r="12" spans="1:18" ht="18.3" x14ac:dyDescent="0.7">
      <c r="A12" s="45"/>
      <c r="B12" s="45" t="s">
        <v>34</v>
      </c>
      <c r="C12" s="45"/>
    </row>
    <row r="14" spans="1:18" ht="18.3" x14ac:dyDescent="0.7">
      <c r="A14" s="45"/>
      <c r="B14" s="45" t="s">
        <v>35</v>
      </c>
      <c r="C14" s="45"/>
      <c r="D14" s="45"/>
    </row>
  </sheetData>
  <sheetProtection sheet="1" objects="1" scenarios="1"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E1048576"/>
  <sheetViews>
    <sheetView showGridLines="0" workbookViewId="0">
      <selection activeCell="D2" sqref="D2"/>
    </sheetView>
  </sheetViews>
  <sheetFormatPr defaultColWidth="4.26171875" defaultRowHeight="22.5" customHeight="1" x14ac:dyDescent="0.55000000000000004"/>
  <cols>
    <col min="1" max="2" width="0.68359375" style="7" customWidth="1"/>
    <col min="3" max="3" width="4.26171875" style="4" customWidth="1"/>
    <col min="4" max="4" width="4.68359375" style="4" bestFit="1" customWidth="1"/>
    <col min="5" max="5" width="8.83984375" style="4" bestFit="1" customWidth="1"/>
    <col min="6" max="28" width="4.26171875" style="4"/>
    <col min="29" max="29" width="4.68359375" style="4" bestFit="1" customWidth="1"/>
    <col min="30" max="16384" width="4.26171875" style="4"/>
  </cols>
  <sheetData>
    <row r="1" spans="1:31" ht="22.5" customHeight="1" x14ac:dyDescent="0.55000000000000004">
      <c r="A1" s="7">
        <v>4</v>
      </c>
      <c r="D1" s="4" t="s">
        <v>26</v>
      </c>
    </row>
    <row r="2" spans="1:31" ht="22.5" customHeight="1" x14ac:dyDescent="0.55000000000000004">
      <c r="A2" s="7">
        <f>O5</f>
        <v>5</v>
      </c>
      <c r="D2" s="33"/>
      <c r="E2" s="36" t="str">
        <f>IFERROR(IF(D2=0,"",IF(U5=D2, "Correct!!", "Incorrect")),"")</f>
        <v/>
      </c>
    </row>
    <row r="3" spans="1:31" ht="22.5" customHeight="1" x14ac:dyDescent="0.55000000000000004">
      <c r="A3" s="7">
        <f>Q5</f>
        <v>6</v>
      </c>
    </row>
    <row r="4" spans="1:31" ht="22.5" customHeight="1" x14ac:dyDescent="0.55000000000000004">
      <c r="A4" s="7">
        <f>S5</f>
        <v>7</v>
      </c>
      <c r="D4" s="4" t="s">
        <v>24</v>
      </c>
    </row>
    <row r="5" spans="1:31" ht="22.5" customHeight="1" x14ac:dyDescent="0.55000000000000004">
      <c r="A5" s="7">
        <f>U5</f>
        <v>8</v>
      </c>
      <c r="D5" s="33"/>
      <c r="E5" s="36" t="str">
        <f>IFERROR(IF(D5=0,"",IF(AC5=D5, "Correct!!", "Incorrect")),"")</f>
        <v/>
      </c>
      <c r="M5" s="48">
        <f>A1</f>
        <v>4</v>
      </c>
      <c r="N5" s="48"/>
      <c r="O5" s="48">
        <f t="shared" ref="O5" si="0">M5+1</f>
        <v>5</v>
      </c>
      <c r="P5" s="48"/>
      <c r="Q5" s="48">
        <f t="shared" ref="Q5" si="1">O5+1</f>
        <v>6</v>
      </c>
      <c r="R5" s="48"/>
      <c r="S5" s="48">
        <f t="shared" ref="S5" si="2">Q5+1</f>
        <v>7</v>
      </c>
      <c r="T5" s="48"/>
      <c r="U5" s="48">
        <f t="shared" ref="U5" si="3">S5+1</f>
        <v>8</v>
      </c>
      <c r="V5" s="48"/>
      <c r="W5" s="48">
        <f t="shared" ref="W5" si="4">U5+1</f>
        <v>9</v>
      </c>
      <c r="X5" s="48"/>
      <c r="Y5" s="48">
        <f t="shared" ref="Y5" si="5">W5+1</f>
        <v>10</v>
      </c>
      <c r="Z5" s="48"/>
      <c r="AA5" s="48">
        <f t="shared" ref="AA5" si="6">Y5+1</f>
        <v>11</v>
      </c>
      <c r="AB5" s="48"/>
      <c r="AC5" s="48">
        <f t="shared" ref="AC5" si="7">AA5+1</f>
        <v>12</v>
      </c>
      <c r="AD5" s="48"/>
    </row>
    <row r="6" spans="1:31" ht="22.5" customHeight="1" thickBot="1" x14ac:dyDescent="0.6">
      <c r="A6" s="7">
        <f>W5</f>
        <v>9</v>
      </c>
      <c r="L6" s="37"/>
      <c r="M6" s="38"/>
      <c r="N6" s="37"/>
      <c r="O6" s="38"/>
      <c r="P6" s="37"/>
      <c r="Q6" s="38"/>
      <c r="R6" s="37"/>
      <c r="S6" s="38"/>
      <c r="T6" s="37"/>
      <c r="U6" s="38"/>
      <c r="V6" s="37"/>
      <c r="W6" s="38"/>
      <c r="X6" s="37"/>
      <c r="Y6" s="38"/>
      <c r="Z6" s="37"/>
      <c r="AA6" s="38"/>
      <c r="AB6" s="37"/>
      <c r="AC6" s="38"/>
      <c r="AD6" s="37"/>
      <c r="AE6" s="37"/>
    </row>
    <row r="7" spans="1:31" ht="22.5" customHeight="1" x14ac:dyDescent="0.55000000000000004">
      <c r="A7" s="7">
        <f>Y5</f>
        <v>10</v>
      </c>
      <c r="D7" s="4" t="s">
        <v>25</v>
      </c>
      <c r="M7" s="39"/>
      <c r="O7" s="39"/>
      <c r="Q7" s="39"/>
      <c r="S7" s="39"/>
      <c r="U7" s="39"/>
      <c r="W7" s="39"/>
      <c r="Y7" s="39"/>
      <c r="AA7" s="39"/>
      <c r="AC7" s="39"/>
    </row>
    <row r="8" spans="1:31" ht="22.5" customHeight="1" x14ac:dyDescent="0.55000000000000004">
      <c r="A8" s="7">
        <f>AA5</f>
        <v>11</v>
      </c>
      <c r="D8" s="33"/>
      <c r="E8" s="36" t="str">
        <f>IFERROR(IF(D8=0,"",IF(M5=D8, "Correct!!", "Incorrect")),"")</f>
        <v/>
      </c>
    </row>
    <row r="9" spans="1:31" ht="22.5" customHeight="1" x14ac:dyDescent="0.55000000000000004">
      <c r="A9" s="7">
        <f>AC5</f>
        <v>12</v>
      </c>
      <c r="M9" s="53" t="str">
        <f>B13&amp;" is"</f>
        <v>7 is</v>
      </c>
      <c r="N9" s="56"/>
      <c r="O9" s="43"/>
      <c r="P9" s="57" t="s">
        <v>28</v>
      </c>
      <c r="Q9" s="58"/>
      <c r="R9" s="58"/>
      <c r="S9" s="58"/>
      <c r="T9" s="51"/>
      <c r="U9" s="52"/>
      <c r="V9" s="40" t="str">
        <f>"of "&amp;B11&amp;"."</f>
        <v>of 10.</v>
      </c>
      <c r="W9" s="41"/>
      <c r="Y9" s="1"/>
    </row>
    <row r="10" spans="1:31" ht="22.5" customHeight="1" x14ac:dyDescent="0.55000000000000004">
      <c r="O10" s="49" t="str">
        <f t="shared" ref="O10" si="8">IF(O9=0,"",IF(O9=ABS(A14),"Correct!!","Incorrect"))</f>
        <v/>
      </c>
      <c r="P10" s="50"/>
      <c r="Q10" s="42"/>
      <c r="R10" s="42"/>
      <c r="S10" s="42"/>
      <c r="T10" s="49" t="str">
        <f>IF(T9=0,"",IF(T9=A15,"Correct!!","Incorrect"))</f>
        <v/>
      </c>
      <c r="U10" s="50"/>
    </row>
    <row r="11" spans="1:31" ht="22.5" customHeight="1" x14ac:dyDescent="0.55000000000000004">
      <c r="A11" s="7">
        <v>7</v>
      </c>
      <c r="B11" s="7">
        <f>INDEX(A1:A9,A11)</f>
        <v>10</v>
      </c>
    </row>
    <row r="12" spans="1:31" ht="22.5" customHeight="1" x14ac:dyDescent="0.55000000000000004">
      <c r="A12" s="7">
        <v>4</v>
      </c>
      <c r="M12" s="53" t="str">
        <f>B13&amp;" - "&amp;B11&amp;" = "</f>
        <v xml:space="preserve">7 - 10 = </v>
      </c>
      <c r="N12" s="53"/>
      <c r="O12" s="53"/>
      <c r="P12" s="53"/>
      <c r="Q12" s="44"/>
      <c r="R12" s="54" t="str">
        <f>IF(Q12=0,"",IF(Q12=A14, "Correct!!", "Incorrect"))</f>
        <v/>
      </c>
      <c r="S12" s="55"/>
    </row>
    <row r="13" spans="1:31" ht="22.5" customHeight="1" x14ac:dyDescent="0.55000000000000004">
      <c r="A13" s="7">
        <f>IF(A11=9,A12-1, IF(A12=A11,A12+1,A12))</f>
        <v>4</v>
      </c>
      <c r="B13" s="7">
        <f>INDEX(A1:A9,A13)</f>
        <v>7</v>
      </c>
    </row>
    <row r="14" spans="1:31" ht="22.5" customHeight="1" x14ac:dyDescent="0.55000000000000004">
      <c r="A14" s="34">
        <f>A13-A11</f>
        <v>-3</v>
      </c>
    </row>
    <row r="15" spans="1:31" ht="22.5" customHeight="1" x14ac:dyDescent="0.55000000000000004">
      <c r="A15" s="35" t="str">
        <f>IF(A14&lt;0,"left","right")</f>
        <v>left</v>
      </c>
    </row>
    <row r="1048565" spans="1:1" ht="22.5" customHeight="1" x14ac:dyDescent="0.55000000000000004">
      <c r="A1048565" s="7">
        <v>8</v>
      </c>
    </row>
    <row r="1048566" spans="1:1" ht="22.5" customHeight="1" x14ac:dyDescent="0.55000000000000004">
      <c r="A1048566" s="7">
        <v>7</v>
      </c>
    </row>
    <row r="1048567" spans="1:1" ht="22.5" customHeight="1" x14ac:dyDescent="0.55000000000000004">
      <c r="A1048567" s="7">
        <f t="shared" ref="A1048567:A1048576" ca="1" si="9">RANDBETWEEN(1,9)</f>
        <v>8</v>
      </c>
    </row>
    <row r="1048568" spans="1:1" ht="22.5" customHeight="1" x14ac:dyDescent="0.55000000000000004">
      <c r="A1048568" s="7">
        <f t="shared" ca="1" si="9"/>
        <v>4</v>
      </c>
    </row>
    <row r="1048569" spans="1:1" ht="22.5" customHeight="1" x14ac:dyDescent="0.55000000000000004">
      <c r="A1048569" s="7">
        <f t="shared" ca="1" si="9"/>
        <v>5</v>
      </c>
    </row>
    <row r="1048570" spans="1:1" ht="22.5" customHeight="1" x14ac:dyDescent="0.55000000000000004">
      <c r="A1048570" s="7">
        <f t="shared" ca="1" si="9"/>
        <v>6</v>
      </c>
    </row>
    <row r="1048571" spans="1:1" ht="22.5" customHeight="1" x14ac:dyDescent="0.55000000000000004">
      <c r="A1048571" s="7">
        <f t="shared" ca="1" si="9"/>
        <v>1</v>
      </c>
    </row>
    <row r="1048572" spans="1:1" ht="22.5" customHeight="1" x14ac:dyDescent="0.55000000000000004">
      <c r="A1048572" s="7">
        <f t="shared" ca="1" si="9"/>
        <v>8</v>
      </c>
    </row>
    <row r="1048573" spans="1:1" ht="22.5" customHeight="1" x14ac:dyDescent="0.55000000000000004">
      <c r="A1048573" s="7">
        <f t="shared" ca="1" si="9"/>
        <v>4</v>
      </c>
    </row>
    <row r="1048574" spans="1:1" ht="22.5" customHeight="1" x14ac:dyDescent="0.55000000000000004">
      <c r="A1048574" s="7">
        <f t="shared" ca="1" si="9"/>
        <v>5</v>
      </c>
    </row>
    <row r="1048575" spans="1:1" ht="22.5" customHeight="1" x14ac:dyDescent="0.55000000000000004">
      <c r="A1048575" s="7">
        <f t="shared" ca="1" si="9"/>
        <v>9</v>
      </c>
    </row>
    <row r="1048576" spans="1:1" ht="22.5" customHeight="1" x14ac:dyDescent="0.55000000000000004">
      <c r="A1048576" s="7">
        <f t="shared" ca="1" si="9"/>
        <v>7</v>
      </c>
    </row>
  </sheetData>
  <sheetProtection sheet="1" objects="1" scenarios="1" selectLockedCells="1"/>
  <mergeCells count="16">
    <mergeCell ref="M12:P12"/>
    <mergeCell ref="R12:S12"/>
    <mergeCell ref="M9:N9"/>
    <mergeCell ref="P9:S9"/>
    <mergeCell ref="O10:P10"/>
    <mergeCell ref="T10:U10"/>
    <mergeCell ref="T9:U9"/>
    <mergeCell ref="Y5:Z5"/>
    <mergeCell ref="AA5:AB5"/>
    <mergeCell ref="AC5:AD5"/>
    <mergeCell ref="W5:X5"/>
    <mergeCell ref="M5:N5"/>
    <mergeCell ref="O5:P5"/>
    <mergeCell ref="Q5:R5"/>
    <mergeCell ref="S5:T5"/>
    <mergeCell ref="U5:V5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num_line">
                <anchor moveWithCells="1" sizeWithCells="1">
                  <from>
                    <xdr:col>14</xdr:col>
                    <xdr:colOff>163830</xdr:colOff>
                    <xdr:row>0</xdr:row>
                    <xdr:rowOff>220980</xdr:rowOff>
                  </from>
                  <to>
                    <xdr:col>17</xdr:col>
                    <xdr:colOff>220980</xdr:colOff>
                    <xdr:row>2</xdr:row>
                    <xdr:rowOff>240030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5"/>
  <sheetViews>
    <sheetView showGridLines="0" workbookViewId="0"/>
  </sheetViews>
  <sheetFormatPr defaultColWidth="9.15625" defaultRowHeight="14.4" x14ac:dyDescent="0.55000000000000004"/>
  <cols>
    <col min="1" max="2" width="0.578125" style="23" customWidth="1"/>
    <col min="3" max="4" width="9.15625" style="4"/>
    <col min="5" max="5" width="10.26171875" style="4" customWidth="1"/>
    <col min="6" max="16384" width="9.15625" style="4"/>
  </cols>
  <sheetData>
    <row r="1" spans="1:2" x14ac:dyDescent="0.55000000000000004">
      <c r="A1" s="23">
        <v>37</v>
      </c>
      <c r="B1" s="24"/>
    </row>
    <row r="2" spans="1:2" x14ac:dyDescent="0.55000000000000004">
      <c r="A2" s="23">
        <v>1</v>
      </c>
      <c r="B2" s="24">
        <f>(A2-A1)/A1</f>
        <v>-0.97297297297297303</v>
      </c>
    </row>
    <row r="3" spans="1:2" x14ac:dyDescent="0.55000000000000004">
      <c r="A3" s="23">
        <v>17</v>
      </c>
      <c r="B3" s="24">
        <f t="shared" ref="B3:B15" si="0">(A3-A2)/A2</f>
        <v>16</v>
      </c>
    </row>
    <row r="4" spans="1:2" x14ac:dyDescent="0.55000000000000004">
      <c r="A4" s="23">
        <v>18</v>
      </c>
      <c r="B4" s="24">
        <f t="shared" si="0"/>
        <v>5.8823529411764705E-2</v>
      </c>
    </row>
    <row r="5" spans="1:2" x14ac:dyDescent="0.55000000000000004">
      <c r="A5" s="23">
        <v>6</v>
      </c>
      <c r="B5" s="24">
        <f t="shared" si="0"/>
        <v>-0.66666666666666663</v>
      </c>
    </row>
    <row r="6" spans="1:2" x14ac:dyDescent="0.55000000000000004">
      <c r="A6" s="23">
        <v>5</v>
      </c>
      <c r="B6" s="24">
        <f t="shared" si="0"/>
        <v>-0.16666666666666666</v>
      </c>
    </row>
    <row r="7" spans="1:2" x14ac:dyDescent="0.55000000000000004">
      <c r="A7" s="23">
        <v>18</v>
      </c>
      <c r="B7" s="24">
        <f t="shared" si="0"/>
        <v>2.6</v>
      </c>
    </row>
    <row r="8" spans="1:2" x14ac:dyDescent="0.55000000000000004">
      <c r="A8" s="23">
        <v>1</v>
      </c>
      <c r="B8" s="24">
        <f t="shared" si="0"/>
        <v>-0.94444444444444442</v>
      </c>
    </row>
    <row r="9" spans="1:2" x14ac:dyDescent="0.55000000000000004">
      <c r="A9" s="23">
        <v>27</v>
      </c>
      <c r="B9" s="24">
        <f t="shared" si="0"/>
        <v>26</v>
      </c>
    </row>
    <row r="10" spans="1:2" x14ac:dyDescent="0.55000000000000004">
      <c r="A10" s="23">
        <v>3</v>
      </c>
      <c r="B10" s="24">
        <f t="shared" si="0"/>
        <v>-0.88888888888888884</v>
      </c>
    </row>
    <row r="11" spans="1:2" x14ac:dyDescent="0.55000000000000004">
      <c r="A11" s="23">
        <v>41</v>
      </c>
      <c r="B11" s="24">
        <f t="shared" si="0"/>
        <v>12.666666666666666</v>
      </c>
    </row>
    <row r="12" spans="1:2" x14ac:dyDescent="0.55000000000000004">
      <c r="A12" s="23">
        <v>42</v>
      </c>
      <c r="B12" s="24">
        <f t="shared" si="0"/>
        <v>2.4390243902439025E-2</v>
      </c>
    </row>
    <row r="13" spans="1:2" x14ac:dyDescent="0.55000000000000004">
      <c r="A13" s="23">
        <v>29</v>
      </c>
      <c r="B13" s="24">
        <f t="shared" si="0"/>
        <v>-0.30952380952380953</v>
      </c>
    </row>
    <row r="14" spans="1:2" x14ac:dyDescent="0.55000000000000004">
      <c r="A14" s="23">
        <v>11</v>
      </c>
      <c r="B14" s="24">
        <f t="shared" si="0"/>
        <v>-0.62068965517241381</v>
      </c>
    </row>
    <row r="15" spans="1:2" x14ac:dyDescent="0.55000000000000004">
      <c r="A15" s="23">
        <v>32</v>
      </c>
      <c r="B15" s="24">
        <f t="shared" si="0"/>
        <v>1.9090909090909092</v>
      </c>
    </row>
    <row r="18" spans="1:15" x14ac:dyDescent="0.55000000000000004">
      <c r="A18" s="25">
        <f>A19-1</f>
        <v>8</v>
      </c>
      <c r="B18" s="25">
        <f>B19-1</f>
        <v>1</v>
      </c>
      <c r="D18" s="4" t="s">
        <v>6</v>
      </c>
      <c r="F18" s="2"/>
      <c r="G18" s="3" t="str">
        <f>IFERROR(IF(INDEX(A1:A15,F18)=MAX(A1:A15),"Correct!","Incorrect"),"")</f>
        <v/>
      </c>
      <c r="J18" s="5" t="s">
        <v>4</v>
      </c>
      <c r="N18" s="12" t="s">
        <v>5</v>
      </c>
    </row>
    <row r="19" spans="1:15" x14ac:dyDescent="0.55000000000000004">
      <c r="A19" s="26">
        <f>MATCH(MAX(B1:B15),B1:B15,0)</f>
        <v>9</v>
      </c>
      <c r="B19" s="26">
        <f>MATCH(MIN(B1:B15),B1:B15,0)</f>
        <v>2</v>
      </c>
      <c r="D19" s="4" t="s">
        <v>7</v>
      </c>
      <c r="F19" s="2"/>
      <c r="G19" s="3" t="str">
        <f>IFERROR(IF(INDEX(A1:A15,F19)=MIN(A1:A15),"Correct!","Incorrect"),"")</f>
        <v/>
      </c>
      <c r="J19" s="6" t="s">
        <v>0</v>
      </c>
      <c r="K19" s="2"/>
      <c r="N19" s="6" t="s">
        <v>0</v>
      </c>
      <c r="O19" s="2"/>
    </row>
    <row r="20" spans="1:15" x14ac:dyDescent="0.55000000000000004">
      <c r="J20" s="6" t="s">
        <v>1</v>
      </c>
      <c r="K20" s="2"/>
      <c r="N20" s="6" t="s">
        <v>1</v>
      </c>
      <c r="O20" s="2"/>
    </row>
    <row r="21" spans="1:15" x14ac:dyDescent="0.55000000000000004">
      <c r="K21" s="22" t="str">
        <f>IF(OR(K19=0,K20=0), "", IF(AND(K20=A19,K19=A18), "Correct!!", "Incorrect"))</f>
        <v/>
      </c>
      <c r="O21" s="3" t="str">
        <f>IF(OR(O19=0,O20=0), "", IF(AND(O20=B19,O19=B18), "Correct!!", "Incorrect"))</f>
        <v/>
      </c>
    </row>
    <row r="25" spans="1:15" x14ac:dyDescent="0.55000000000000004">
      <c r="E25" s="21"/>
    </row>
  </sheetData>
  <sheetProtection sheet="1" objects="1" scenarios="1" selectLockedCells="1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ne_chart">
                <anchor moveWithCells="1" sizeWithCells="1">
                  <from>
                    <xdr:col>2</xdr:col>
                    <xdr:colOff>240030</xdr:colOff>
                    <xdr:row>1</xdr:row>
                    <xdr:rowOff>57150</xdr:rowOff>
                  </from>
                  <to>
                    <xdr:col>3</xdr:col>
                    <xdr:colOff>601980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4"/>
  <sheetViews>
    <sheetView showGridLines="0" workbookViewId="0"/>
  </sheetViews>
  <sheetFormatPr defaultColWidth="9.15625" defaultRowHeight="14.4" x14ac:dyDescent="0.55000000000000004"/>
  <cols>
    <col min="1" max="2" width="0.578125" style="7" customWidth="1"/>
    <col min="3" max="4" width="9.15625" style="4"/>
    <col min="5" max="5" width="10.26171875" style="4" customWidth="1"/>
    <col min="6" max="16384" width="9.15625" style="4"/>
  </cols>
  <sheetData>
    <row r="1" spans="1:2" x14ac:dyDescent="0.55000000000000004">
      <c r="A1" s="7">
        <v>42</v>
      </c>
      <c r="B1" s="8"/>
    </row>
    <row r="2" spans="1:2" x14ac:dyDescent="0.55000000000000004">
      <c r="A2" s="7">
        <v>38</v>
      </c>
      <c r="B2" s="8"/>
    </row>
    <row r="3" spans="1:2" x14ac:dyDescent="0.55000000000000004">
      <c r="A3" s="7">
        <v>19</v>
      </c>
      <c r="B3" s="8"/>
    </row>
    <row r="4" spans="1:2" x14ac:dyDescent="0.55000000000000004">
      <c r="A4" s="7">
        <v>5</v>
      </c>
      <c r="B4" s="8"/>
    </row>
    <row r="5" spans="1:2" x14ac:dyDescent="0.55000000000000004">
      <c r="A5" s="7">
        <v>22</v>
      </c>
      <c r="B5" s="8"/>
    </row>
    <row r="6" spans="1:2" x14ac:dyDescent="0.55000000000000004">
      <c r="A6" s="7">
        <v>38</v>
      </c>
      <c r="B6" s="8"/>
    </row>
    <row r="7" spans="1:2" x14ac:dyDescent="0.55000000000000004">
      <c r="A7" s="7">
        <v>31</v>
      </c>
      <c r="B7" s="8"/>
    </row>
    <row r="8" spans="1:2" x14ac:dyDescent="0.55000000000000004">
      <c r="A8" s="7">
        <v>49</v>
      </c>
      <c r="B8" s="8"/>
    </row>
    <row r="9" spans="1:2" x14ac:dyDescent="0.55000000000000004">
      <c r="A9" s="7">
        <v>8</v>
      </c>
      <c r="B9" s="8"/>
    </row>
    <row r="10" spans="1:2" x14ac:dyDescent="0.55000000000000004">
      <c r="A10" s="7">
        <v>32</v>
      </c>
      <c r="B10" s="8"/>
    </row>
    <row r="11" spans="1:2" x14ac:dyDescent="0.55000000000000004">
      <c r="A11" s="7">
        <v>21</v>
      </c>
      <c r="B11" s="8"/>
    </row>
    <row r="12" spans="1:2" x14ac:dyDescent="0.55000000000000004">
      <c r="A12" s="7">
        <v>36</v>
      </c>
      <c r="B12" s="8"/>
    </row>
    <row r="13" spans="1:2" x14ac:dyDescent="0.55000000000000004">
      <c r="A13" s="7">
        <v>45</v>
      </c>
      <c r="B13" s="8"/>
    </row>
    <row r="14" spans="1:2" x14ac:dyDescent="0.55000000000000004">
      <c r="A14" s="7">
        <v>22</v>
      </c>
      <c r="B14" s="8"/>
    </row>
    <row r="15" spans="1:2" x14ac:dyDescent="0.55000000000000004">
      <c r="A15" s="7">
        <v>39</v>
      </c>
      <c r="B15" s="8"/>
    </row>
    <row r="18" spans="4:17" x14ac:dyDescent="0.55000000000000004">
      <c r="D18" s="4" t="s">
        <v>6</v>
      </c>
      <c r="F18" s="2"/>
      <c r="G18" s="3" t="str">
        <f>IFERROR(IF(INDEX(A1:A15,F18)=MAX(A1:A15),"Correct!","Incorrect"),"")</f>
        <v/>
      </c>
      <c r="I18" s="1"/>
      <c r="J18" s="1"/>
      <c r="K18" s="1"/>
      <c r="L18" s="1"/>
      <c r="M18" s="1"/>
      <c r="N18" s="1"/>
      <c r="O18" s="1"/>
      <c r="P18" s="1"/>
      <c r="Q18" s="1"/>
    </row>
    <row r="19" spans="4:17" x14ac:dyDescent="0.55000000000000004">
      <c r="D19" s="4" t="s">
        <v>7</v>
      </c>
      <c r="F19" s="2"/>
      <c r="G19" s="3" t="str">
        <f>IFERROR(IF(INDEX(A1:A15,F19)=MIN(A1:A15),"Correct!","Incorrect"),"")</f>
        <v/>
      </c>
      <c r="I19" s="1"/>
      <c r="J19" s="1"/>
      <c r="K19" s="1"/>
      <c r="L19" s="1"/>
      <c r="M19" s="1"/>
      <c r="N19" s="1"/>
      <c r="O19" s="1"/>
      <c r="P19" s="1"/>
      <c r="Q19" s="1"/>
    </row>
    <row r="20" spans="4:17" x14ac:dyDescent="0.55000000000000004">
      <c r="I20" s="1"/>
      <c r="J20" s="1"/>
      <c r="K20" s="1"/>
      <c r="L20" s="1"/>
      <c r="M20" s="1"/>
      <c r="N20" s="1"/>
      <c r="O20" s="1"/>
      <c r="P20" s="1"/>
      <c r="Q20" s="1"/>
    </row>
    <row r="21" spans="4:17" x14ac:dyDescent="0.55000000000000004">
      <c r="I21" s="1"/>
      <c r="J21" s="1"/>
      <c r="K21" s="1"/>
      <c r="L21" s="1"/>
      <c r="M21" s="1"/>
      <c r="N21" s="1"/>
      <c r="O21" s="1"/>
      <c r="P21" s="1"/>
      <c r="Q21" s="1"/>
    </row>
    <row r="22" spans="4:17" x14ac:dyDescent="0.55000000000000004">
      <c r="I22" s="1"/>
      <c r="J22" s="1"/>
      <c r="K22" s="1"/>
      <c r="L22" s="1"/>
      <c r="M22" s="1"/>
      <c r="N22" s="1"/>
      <c r="O22" s="1"/>
      <c r="P22" s="1"/>
      <c r="Q22" s="1"/>
    </row>
    <row r="23" spans="4:17" x14ac:dyDescent="0.55000000000000004">
      <c r="I23" s="1"/>
      <c r="J23" s="1"/>
      <c r="K23" s="1"/>
      <c r="L23" s="1"/>
      <c r="M23" s="1"/>
      <c r="N23" s="1"/>
      <c r="O23" s="1"/>
      <c r="P23" s="1"/>
      <c r="Q23" s="1"/>
    </row>
    <row r="24" spans="4:17" x14ac:dyDescent="0.55000000000000004">
      <c r="I24" s="1"/>
      <c r="J24" s="1"/>
      <c r="K24" s="1"/>
      <c r="L24" s="1"/>
      <c r="M24" s="1"/>
      <c r="N24" s="1"/>
      <c r="O24" s="1"/>
      <c r="P24" s="1"/>
      <c r="Q24" s="1"/>
    </row>
  </sheetData>
  <sheetProtection sheet="1" objects="1" scenarios="1" selectLockedCells="1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line_chart">
                <anchor moveWithCells="1" sizeWithCells="1">
                  <from>
                    <xdr:col>2</xdr:col>
                    <xdr:colOff>240030</xdr:colOff>
                    <xdr:row>1</xdr:row>
                    <xdr:rowOff>57150</xdr:rowOff>
                  </from>
                  <to>
                    <xdr:col>3</xdr:col>
                    <xdr:colOff>601980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10"/>
  <sheetViews>
    <sheetView showGridLines="0" workbookViewId="0"/>
  </sheetViews>
  <sheetFormatPr defaultColWidth="9.15625" defaultRowHeight="14.4" x14ac:dyDescent="0.55000000000000004"/>
  <cols>
    <col min="1" max="2" width="0.578125" style="7" customWidth="1"/>
    <col min="3" max="10" width="9.15625" style="4"/>
    <col min="11" max="11" width="15.26171875" style="4" bestFit="1" customWidth="1"/>
    <col min="12" max="16384" width="9.15625" style="4"/>
  </cols>
  <sheetData>
    <row r="1" spans="1:11" x14ac:dyDescent="0.55000000000000004">
      <c r="A1" s="7">
        <v>7</v>
      </c>
      <c r="B1" s="7">
        <f>ROUND(A1/$A$5,3)</f>
        <v>0.17499999999999999</v>
      </c>
    </row>
    <row r="2" spans="1:11" x14ac:dyDescent="0.55000000000000004">
      <c r="A2" s="7">
        <v>14</v>
      </c>
      <c r="B2" s="7">
        <f t="shared" ref="B2:B4" si="0">ROUND(A2/$A$5,3)</f>
        <v>0.35</v>
      </c>
    </row>
    <row r="3" spans="1:11" x14ac:dyDescent="0.55000000000000004">
      <c r="A3" s="7">
        <v>2</v>
      </c>
      <c r="B3" s="7">
        <f t="shared" si="0"/>
        <v>0.05</v>
      </c>
      <c r="J3" s="4" t="s">
        <v>8</v>
      </c>
    </row>
    <row r="4" spans="1:11" x14ac:dyDescent="0.55000000000000004">
      <c r="A4" s="7">
        <v>17</v>
      </c>
      <c r="B4" s="7">
        <f t="shared" si="0"/>
        <v>0.42499999999999999</v>
      </c>
      <c r="J4" s="13"/>
      <c r="K4" s="3" t="str">
        <f>IFERROR(IF(COUNTA(J4)&gt;0,IF(VLOOKUP(J4,A7:B10,2,0)=MAX(B7:B10),"Correct!","Incorrect"),""),"(Check spelling)")</f>
        <v/>
      </c>
    </row>
    <row r="5" spans="1:11" x14ac:dyDescent="0.55000000000000004">
      <c r="A5" s="14">
        <f>SUM(A1:A4)</f>
        <v>40</v>
      </c>
      <c r="B5" s="14">
        <f>SUM(B1:B4)</f>
        <v>1</v>
      </c>
    </row>
    <row r="6" spans="1:11" x14ac:dyDescent="0.55000000000000004">
      <c r="J6" s="4" t="s">
        <v>9</v>
      </c>
    </row>
    <row r="7" spans="1:11" x14ac:dyDescent="0.55000000000000004">
      <c r="A7" s="7" t="s">
        <v>10</v>
      </c>
      <c r="B7" s="7">
        <f>B1</f>
        <v>0.17499999999999999</v>
      </c>
      <c r="J7" s="13"/>
      <c r="K7" s="3" t="str">
        <f>IFERROR(IF(COUNTA(J7)&gt;0,IF(VLOOKUP(J7,A7:B10,2,0)=MIN(B7:B10),"Correct!","Incorrect"),""),"(Check spelling)")</f>
        <v/>
      </c>
    </row>
    <row r="8" spans="1:11" x14ac:dyDescent="0.55000000000000004">
      <c r="A8" s="7" t="s">
        <v>12</v>
      </c>
      <c r="B8" s="7">
        <f t="shared" ref="B8:B10" si="1">B2</f>
        <v>0.35</v>
      </c>
    </row>
    <row r="9" spans="1:11" x14ac:dyDescent="0.55000000000000004">
      <c r="A9" s="7" t="s">
        <v>11</v>
      </c>
      <c r="B9" s="7">
        <f t="shared" si="1"/>
        <v>0.05</v>
      </c>
      <c r="J9" s="27"/>
    </row>
    <row r="10" spans="1:11" x14ac:dyDescent="0.55000000000000004">
      <c r="A10" s="7" t="s">
        <v>13</v>
      </c>
      <c r="B10" s="7">
        <f t="shared" si="1"/>
        <v>0.42499999999999999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pie_chart">
                <anchor moveWithCells="1" sizeWithCells="1">
                  <from>
                    <xdr:col>2</xdr:col>
                    <xdr:colOff>171450</xdr:colOff>
                    <xdr:row>0</xdr:row>
                    <xdr:rowOff>87630</xdr:rowOff>
                  </from>
                  <to>
                    <xdr:col>4</xdr:col>
                    <xdr:colOff>30480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20"/>
  <sheetViews>
    <sheetView showGridLines="0" workbookViewId="0"/>
  </sheetViews>
  <sheetFormatPr defaultColWidth="9.15625" defaultRowHeight="15" customHeight="1" x14ac:dyDescent="0.55000000000000004"/>
  <cols>
    <col min="1" max="1" width="0.68359375" style="7" customWidth="1"/>
    <col min="2" max="2" width="0.68359375" style="20" customWidth="1"/>
    <col min="3" max="3" width="3.15625" style="31" customWidth="1"/>
    <col min="4" max="8" width="9.15625" style="4"/>
    <col min="9" max="9" width="4.83984375" style="4" customWidth="1"/>
    <col min="10" max="12" width="9.15625" style="4"/>
    <col min="13" max="17" width="9.15625" style="1"/>
    <col min="18" max="16384" width="9.15625" style="4"/>
  </cols>
  <sheetData>
    <row r="1" spans="1:11" ht="15" customHeight="1" x14ac:dyDescent="0.55000000000000004">
      <c r="A1" s="7">
        <v>5</v>
      </c>
      <c r="B1" s="20" t="s">
        <v>22</v>
      </c>
    </row>
    <row r="2" spans="1:11" ht="15" customHeight="1" x14ac:dyDescent="0.7">
      <c r="D2" s="32"/>
      <c r="E2" s="32"/>
      <c r="F2" s="18" t="s">
        <v>14</v>
      </c>
      <c r="G2" s="32"/>
      <c r="H2" s="32"/>
    </row>
    <row r="3" spans="1:11" ht="15" customHeight="1" x14ac:dyDescent="0.7">
      <c r="A3" s="7">
        <v>8</v>
      </c>
      <c r="B3" s="20" t="s">
        <v>23</v>
      </c>
      <c r="D3" s="32"/>
      <c r="E3" s="32"/>
      <c r="F3" s="19">
        <f>A1</f>
        <v>5</v>
      </c>
      <c r="G3" s="32"/>
      <c r="H3" s="32"/>
    </row>
    <row r="4" spans="1:11" ht="15" customHeight="1" x14ac:dyDescent="0.55000000000000004">
      <c r="D4" s="32"/>
      <c r="E4" s="32"/>
      <c r="F4" s="32"/>
      <c r="G4" s="32"/>
      <c r="H4" s="32"/>
    </row>
    <row r="5" spans="1:11" ht="15" customHeight="1" x14ac:dyDescent="0.55000000000000004">
      <c r="A5" s="7">
        <f>SUM(2*A3,2*A1)</f>
        <v>26</v>
      </c>
      <c r="B5" s="20" t="s">
        <v>18</v>
      </c>
      <c r="D5" s="32"/>
      <c r="E5" s="32"/>
      <c r="F5" s="32"/>
      <c r="G5" s="32"/>
      <c r="H5" s="32"/>
    </row>
    <row r="6" spans="1:11" ht="15" customHeight="1" x14ac:dyDescent="0.55000000000000004">
      <c r="A6" s="7">
        <f>A1*A3</f>
        <v>40</v>
      </c>
      <c r="B6" s="20" t="s">
        <v>19</v>
      </c>
      <c r="D6" s="32"/>
      <c r="E6" s="32"/>
      <c r="F6" s="32"/>
      <c r="G6" s="32"/>
      <c r="H6" s="32"/>
      <c r="J6" s="4" t="s">
        <v>20</v>
      </c>
    </row>
    <row r="7" spans="1:11" ht="15" customHeight="1" x14ac:dyDescent="0.55000000000000004">
      <c r="D7" s="32"/>
      <c r="E7" s="32"/>
      <c r="F7" s="32"/>
      <c r="G7" s="32"/>
      <c r="H7" s="32"/>
      <c r="J7" s="13"/>
      <c r="K7" s="3" t="str">
        <f>IF(COUNTA(J7)=0,"",IF(J7=A5,"Correct!!","Incorrect"))</f>
        <v/>
      </c>
    </row>
    <row r="8" spans="1:11" ht="15" customHeight="1" x14ac:dyDescent="0.55000000000000004">
      <c r="D8" s="32"/>
      <c r="E8" s="32"/>
      <c r="F8" s="32"/>
      <c r="G8" s="32"/>
      <c r="H8" s="32"/>
    </row>
    <row r="9" spans="1:11" ht="15" customHeight="1" x14ac:dyDescent="0.7">
      <c r="D9" s="16" t="s">
        <v>17</v>
      </c>
      <c r="E9" s="32"/>
      <c r="F9" s="32"/>
      <c r="G9" s="32"/>
      <c r="H9" s="18" t="s">
        <v>15</v>
      </c>
    </row>
    <row r="10" spans="1:11" ht="15" customHeight="1" x14ac:dyDescent="0.7">
      <c r="D10" s="17">
        <f>A3</f>
        <v>8</v>
      </c>
      <c r="E10" s="32"/>
      <c r="F10" s="32"/>
      <c r="G10" s="32"/>
      <c r="H10" s="17">
        <f>A3</f>
        <v>8</v>
      </c>
      <c r="J10" s="4" t="s">
        <v>21</v>
      </c>
    </row>
    <row r="11" spans="1:11" ht="15" customHeight="1" x14ac:dyDescent="0.55000000000000004">
      <c r="D11" s="32"/>
      <c r="E11" s="32"/>
      <c r="F11" s="32"/>
      <c r="G11" s="32"/>
      <c r="H11" s="32"/>
      <c r="J11" s="13"/>
      <c r="K11" s="3" t="str">
        <f>IF(COUNTA(J11)=0,"",IF(J11=A6,"Correct!!","Incorrect"))</f>
        <v/>
      </c>
    </row>
    <row r="12" spans="1:11" ht="15" customHeight="1" x14ac:dyDescent="0.55000000000000004">
      <c r="D12" s="32"/>
      <c r="E12" s="32"/>
      <c r="F12" s="32"/>
      <c r="G12" s="32"/>
      <c r="H12" s="32"/>
    </row>
    <row r="13" spans="1:11" ht="15" customHeight="1" x14ac:dyDescent="0.55000000000000004">
      <c r="D13" s="32"/>
      <c r="E13" s="32"/>
      <c r="F13" s="32"/>
      <c r="G13" s="32"/>
      <c r="H13" s="32"/>
    </row>
    <row r="14" spans="1:11" ht="15" customHeight="1" x14ac:dyDescent="0.55000000000000004">
      <c r="D14" s="32"/>
      <c r="E14" s="32"/>
      <c r="F14" s="32"/>
      <c r="G14" s="32"/>
      <c r="H14" s="32"/>
    </row>
    <row r="15" spans="1:11" ht="15" customHeight="1" x14ac:dyDescent="0.55000000000000004">
      <c r="D15" s="32"/>
      <c r="E15" s="32"/>
      <c r="F15" s="32"/>
      <c r="G15" s="32"/>
      <c r="H15" s="32"/>
    </row>
    <row r="16" spans="1:11" ht="15" customHeight="1" x14ac:dyDescent="0.55000000000000004">
      <c r="D16" s="32"/>
      <c r="E16" s="32"/>
      <c r="F16" s="32"/>
      <c r="G16" s="32"/>
      <c r="H16" s="32"/>
    </row>
    <row r="17" spans="4:8" ht="15" customHeight="1" x14ac:dyDescent="0.55000000000000004">
      <c r="D17" s="32"/>
      <c r="E17" s="32"/>
      <c r="F17" s="32"/>
      <c r="G17" s="32"/>
      <c r="H17" s="32"/>
    </row>
    <row r="18" spans="4:8" ht="15" customHeight="1" x14ac:dyDescent="0.55000000000000004">
      <c r="D18" s="32"/>
      <c r="E18" s="32"/>
      <c r="F18" s="32"/>
      <c r="G18" s="32"/>
      <c r="H18" s="32"/>
    </row>
    <row r="19" spans="4:8" ht="15" customHeight="1" x14ac:dyDescent="0.7">
      <c r="D19" s="32"/>
      <c r="E19" s="32"/>
      <c r="F19" s="18" t="s">
        <v>16</v>
      </c>
      <c r="G19" s="32"/>
      <c r="H19" s="32"/>
    </row>
    <row r="20" spans="4:8" ht="15" customHeight="1" x14ac:dyDescent="0.7">
      <c r="D20" s="32"/>
      <c r="E20" s="32"/>
      <c r="F20" s="19">
        <f>A1</f>
        <v>5</v>
      </c>
      <c r="G20" s="32"/>
      <c r="H20" s="32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rectangle">
                <anchor moveWithCells="1" sizeWithCells="1">
                  <from>
                    <xdr:col>8</xdr:col>
                    <xdr:colOff>0</xdr:colOff>
                    <xdr:row>1</xdr:row>
                    <xdr:rowOff>19050</xdr:rowOff>
                  </from>
                  <to>
                    <xdr:col>9</xdr:col>
                    <xdr:colOff>601980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9"/>
  <sheetViews>
    <sheetView showGridLines="0" workbookViewId="0"/>
  </sheetViews>
  <sheetFormatPr defaultColWidth="9.15625" defaultRowHeight="14.4" x14ac:dyDescent="0.55000000000000004"/>
  <cols>
    <col min="1" max="1" width="9.15625" style="1"/>
    <col min="2" max="2" width="10.68359375" style="1" bestFit="1" customWidth="1"/>
    <col min="3" max="16384" width="9.15625" style="1"/>
  </cols>
  <sheetData>
    <row r="1" spans="1:4" x14ac:dyDescent="0.55000000000000004">
      <c r="A1" s="10" t="s">
        <v>2</v>
      </c>
      <c r="B1" s="10" t="s">
        <v>3</v>
      </c>
    </row>
    <row r="2" spans="1:4" x14ac:dyDescent="0.55000000000000004">
      <c r="A2" s="11">
        <v>13</v>
      </c>
      <c r="B2" s="9"/>
      <c r="C2" s="30" t="str">
        <f>IF(COUNTA(B2)&gt;0,(IF(B2=ROUND(A2*(9/5)+32,2),"Correct!","Incorrect")),"")</f>
        <v/>
      </c>
    </row>
    <row r="3" spans="1:4" x14ac:dyDescent="0.55000000000000004">
      <c r="A3" s="11">
        <v>-9</v>
      </c>
      <c r="B3" s="9"/>
      <c r="C3" s="30" t="str">
        <f t="shared" ref="C3:C6" si="0">IF(COUNTA(B3)&gt;0,(IF(B3=ROUND(A3*(9/5)+32,2),"Correct!","Incorrect")),"")</f>
        <v/>
      </c>
    </row>
    <row r="4" spans="1:4" x14ac:dyDescent="0.55000000000000004">
      <c r="A4" s="11">
        <v>-6</v>
      </c>
      <c r="B4" s="9"/>
      <c r="C4" s="30" t="str">
        <f t="shared" si="0"/>
        <v/>
      </c>
    </row>
    <row r="5" spans="1:4" x14ac:dyDescent="0.55000000000000004">
      <c r="A5" s="11">
        <v>-30</v>
      </c>
      <c r="B5" s="9"/>
      <c r="C5" s="30" t="str">
        <f t="shared" si="0"/>
        <v/>
      </c>
    </row>
    <row r="6" spans="1:4" x14ac:dyDescent="0.55000000000000004">
      <c r="A6" s="11">
        <v>-23</v>
      </c>
      <c r="B6" s="9"/>
      <c r="C6" s="30" t="str">
        <f t="shared" si="0"/>
        <v/>
      </c>
    </row>
    <row r="7" spans="1:4" x14ac:dyDescent="0.55000000000000004">
      <c r="A7" s="29" t="s">
        <v>27</v>
      </c>
    </row>
    <row r="9" spans="1:4" ht="20.399999999999999" x14ac:dyDescent="0.75">
      <c r="D9" s="28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_to_f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5</xdr:col>
                    <xdr:colOff>182880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ow_formula_c_to_f">
                <anchor moveWithCells="1" sizeWithCells="1">
                  <from>
                    <xdr:col>3</xdr:col>
                    <xdr:colOff>49530</xdr:colOff>
                    <xdr:row>10</xdr:row>
                    <xdr:rowOff>30480</xdr:rowOff>
                  </from>
                  <to>
                    <xdr:col>4</xdr:col>
                    <xdr:colOff>495300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hide_formula_c_to_f">
                <anchor moveWithCells="1" sizeWithCells="1">
                  <from>
                    <xdr:col>5</xdr:col>
                    <xdr:colOff>76200</xdr:colOff>
                    <xdr:row>10</xdr:row>
                    <xdr:rowOff>30480</xdr:rowOff>
                  </from>
                  <to>
                    <xdr:col>6</xdr:col>
                    <xdr:colOff>476250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/>
  </sheetViews>
  <sheetFormatPr defaultColWidth="9.15625" defaultRowHeight="14.4" x14ac:dyDescent="0.55000000000000004"/>
  <cols>
    <col min="1" max="1" width="11.26171875" style="1" customWidth="1"/>
    <col min="2" max="2" width="10.68359375" style="1" bestFit="1" customWidth="1"/>
    <col min="3" max="16384" width="9.15625" style="1"/>
  </cols>
  <sheetData>
    <row r="1" spans="1:4" x14ac:dyDescent="0.55000000000000004">
      <c r="A1" s="15" t="s">
        <v>3</v>
      </c>
      <c r="B1" s="10" t="s">
        <v>2</v>
      </c>
    </row>
    <row r="2" spans="1:4" x14ac:dyDescent="0.55000000000000004">
      <c r="A2" s="11">
        <v>-14</v>
      </c>
      <c r="B2" s="9"/>
      <c r="C2" s="30" t="str">
        <f>IF(COUNTA(B2)&gt;0,(IF(B2=ROUND((A2-32)*(5/9),2),"Correct!","Incorrect")),"")</f>
        <v/>
      </c>
    </row>
    <row r="3" spans="1:4" x14ac:dyDescent="0.55000000000000004">
      <c r="A3" s="11">
        <v>-12</v>
      </c>
      <c r="B3" s="9"/>
      <c r="C3" s="30" t="str">
        <f t="shared" ref="C3:C6" si="0">IF(COUNTA(B3)&gt;0,(IF(B3=ROUND((A3-32)*(5/9),2),"Correct!","Incorrect")),"")</f>
        <v/>
      </c>
    </row>
    <row r="4" spans="1:4" x14ac:dyDescent="0.55000000000000004">
      <c r="A4" s="11">
        <v>46</v>
      </c>
      <c r="B4" s="9"/>
      <c r="C4" s="30" t="str">
        <f t="shared" si="0"/>
        <v/>
      </c>
    </row>
    <row r="5" spans="1:4" x14ac:dyDescent="0.55000000000000004">
      <c r="A5" s="11">
        <v>-3</v>
      </c>
      <c r="B5" s="9"/>
      <c r="C5" s="30" t="str">
        <f t="shared" si="0"/>
        <v/>
      </c>
    </row>
    <row r="6" spans="1:4" x14ac:dyDescent="0.55000000000000004">
      <c r="A6" s="11">
        <v>94</v>
      </c>
      <c r="B6" s="9"/>
      <c r="C6" s="30" t="str">
        <f t="shared" si="0"/>
        <v/>
      </c>
    </row>
    <row r="7" spans="1:4" x14ac:dyDescent="0.55000000000000004">
      <c r="A7" s="29" t="s">
        <v>27</v>
      </c>
    </row>
    <row r="9" spans="1:4" ht="20.399999999999999" x14ac:dyDescent="0.75">
      <c r="D9" s="28"/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f_to_c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5</xdr:col>
                    <xdr:colOff>182880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show_formula_f_to_c">
                <anchor moveWithCells="1" sizeWithCells="1">
                  <from>
                    <xdr:col>3</xdr:col>
                    <xdr:colOff>49530</xdr:colOff>
                    <xdr:row>10</xdr:row>
                    <xdr:rowOff>30480</xdr:rowOff>
                  </from>
                  <to>
                    <xdr:col>4</xdr:col>
                    <xdr:colOff>495300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hide_formula_c_to_f">
                <anchor moveWithCells="1" sizeWithCells="1">
                  <from>
                    <xdr:col>5</xdr:col>
                    <xdr:colOff>76200</xdr:colOff>
                    <xdr:row>10</xdr:row>
                    <xdr:rowOff>30480</xdr:rowOff>
                  </from>
                  <to>
                    <xdr:col>6</xdr:col>
                    <xdr:colOff>476250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Number Line</vt:lpstr>
      <vt:lpstr>Line Chart</vt:lpstr>
      <vt:lpstr>Bar Chart</vt:lpstr>
      <vt:lpstr>Pie Chart</vt:lpstr>
      <vt:lpstr>Rectangle</vt:lpstr>
      <vt:lpstr>C to F Conversions</vt:lpstr>
      <vt:lpstr>F to C Conversions</vt:lpstr>
    </vt:vector>
  </TitlesOfParts>
  <Company>SUNY Campus Agreement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</dc:creator>
  <cp:lastModifiedBy>Dan</cp:lastModifiedBy>
  <dcterms:created xsi:type="dcterms:W3CDTF">2014-03-26T16:59:31Z</dcterms:created>
  <dcterms:modified xsi:type="dcterms:W3CDTF">2018-03-12T16:48:27Z</dcterms:modified>
</cp:coreProperties>
</file>